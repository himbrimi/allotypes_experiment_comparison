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gazaytseva/Library/Mobile Documents/com~apple~CloudDocs/Documents/Documents - Olga’s MacBook Pro/work/glycomics/GENOS LAB/PROJECTS/2024_IgG_glycans_with_Anika/20260513_EXP02_vs_EXP03/output/tables/"/>
    </mc:Choice>
  </mc:AlternateContent>
  <xr:revisionPtr revIDLastSave="0" documentId="8_{6ED2E3BF-6C27-EE41-BF77-C150BADCD4F9}" xr6:coauthVersionLast="47" xr6:coauthVersionMax="47" xr10:uidLastSave="{00000000-0000-0000-0000-000000000000}"/>
  <bookViews>
    <workbookView xWindow="3260" yWindow="2160" windowWidth="28040" windowHeight="17440" xr2:uid="{B114A0D4-B9FB-8043-BEEA-FC8694228C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7" i="1" l="1"/>
  <c r="N17" i="1"/>
  <c r="O17" i="1"/>
  <c r="P17" i="1"/>
  <c r="Q17" i="1"/>
  <c r="R17" i="1"/>
  <c r="S17" i="1"/>
  <c r="M18" i="1"/>
  <c r="N18" i="1"/>
  <c r="O18" i="1"/>
  <c r="P18" i="1"/>
  <c r="Q18" i="1"/>
  <c r="R18" i="1"/>
  <c r="S18" i="1"/>
  <c r="M19" i="1"/>
  <c r="N19" i="1"/>
  <c r="O19" i="1"/>
  <c r="P19" i="1"/>
  <c r="Q19" i="1"/>
  <c r="R19" i="1"/>
  <c r="S19" i="1"/>
  <c r="M20" i="1"/>
  <c r="N20" i="1"/>
  <c r="O20" i="1"/>
  <c r="P20" i="1"/>
  <c r="Q20" i="1"/>
  <c r="R20" i="1"/>
  <c r="S20" i="1"/>
  <c r="M21" i="1"/>
  <c r="N21" i="1"/>
  <c r="O21" i="1"/>
  <c r="P21" i="1"/>
  <c r="Q21" i="1"/>
  <c r="R21" i="1"/>
  <c r="S21" i="1"/>
  <c r="M22" i="1"/>
  <c r="N22" i="1"/>
  <c r="O22" i="1"/>
  <c r="P22" i="1"/>
  <c r="Q22" i="1"/>
  <c r="R22" i="1"/>
  <c r="S22" i="1"/>
  <c r="M23" i="1"/>
  <c r="N23" i="1"/>
  <c r="O23" i="1"/>
  <c r="P23" i="1"/>
  <c r="Q23" i="1"/>
  <c r="R23" i="1"/>
  <c r="S23" i="1"/>
  <c r="M24" i="1"/>
  <c r="N24" i="1"/>
  <c r="O24" i="1"/>
  <c r="P24" i="1"/>
  <c r="Q24" i="1"/>
  <c r="R24" i="1"/>
  <c r="S24" i="1"/>
  <c r="L18" i="1"/>
  <c r="L19" i="1"/>
  <c r="L20" i="1"/>
  <c r="L21" i="1"/>
  <c r="L22" i="1"/>
  <c r="L23" i="1"/>
  <c r="L24" i="1"/>
  <c r="L17" i="1"/>
  <c r="C17" i="1"/>
  <c r="D17" i="1"/>
  <c r="E17" i="1"/>
  <c r="F17" i="1"/>
  <c r="G17" i="1"/>
  <c r="H17" i="1"/>
  <c r="I17" i="1"/>
  <c r="C18" i="1"/>
  <c r="D18" i="1"/>
  <c r="E18" i="1"/>
  <c r="F18" i="1"/>
  <c r="G18" i="1"/>
  <c r="H18" i="1"/>
  <c r="I18" i="1"/>
  <c r="C19" i="1"/>
  <c r="D19" i="1"/>
  <c r="E19" i="1"/>
  <c r="F19" i="1"/>
  <c r="G19" i="1"/>
  <c r="H19" i="1"/>
  <c r="I19" i="1"/>
  <c r="C20" i="1"/>
  <c r="D20" i="1"/>
  <c r="E20" i="1"/>
  <c r="F20" i="1"/>
  <c r="G20" i="1"/>
  <c r="H20" i="1"/>
  <c r="I20" i="1"/>
  <c r="C21" i="1"/>
  <c r="D21" i="1"/>
  <c r="E21" i="1"/>
  <c r="F21" i="1"/>
  <c r="G21" i="1"/>
  <c r="H21" i="1"/>
  <c r="I21" i="1"/>
  <c r="C22" i="1"/>
  <c r="D22" i="1"/>
  <c r="E22" i="1"/>
  <c r="F22" i="1"/>
  <c r="G22" i="1"/>
  <c r="H22" i="1"/>
  <c r="I22" i="1"/>
  <c r="C23" i="1"/>
  <c r="D23" i="1"/>
  <c r="E23" i="1"/>
  <c r="F23" i="1"/>
  <c r="G23" i="1"/>
  <c r="H23" i="1"/>
  <c r="I23" i="1"/>
  <c r="C24" i="1"/>
  <c r="D24" i="1"/>
  <c r="E24" i="1"/>
  <c r="F24" i="1"/>
  <c r="G24" i="1"/>
  <c r="H24" i="1"/>
  <c r="I24" i="1"/>
  <c r="B18" i="1"/>
  <c r="B19" i="1"/>
  <c r="B20" i="1"/>
  <c r="B21" i="1"/>
  <c r="B22" i="1"/>
  <c r="B23" i="1"/>
  <c r="B24" i="1"/>
  <c r="B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D0A0F1-CC1B-274B-990A-7B175C11EAC6}" keepAlive="1" name="Query - 20260528-comparing_EXP02_EXP03" description="Connection to the '20260528-comparing_EXP02_EXP03' query in the workbook." type="5" refreshedVersion="8" background="1" saveData="1">
    <dbPr connection="Provider=Microsoft.Mashup.OleDb.1;Data Source=$Workbook$;Location=20260528-comparing_EXP02_EXP03;Extended Properties=&quot;&quot;" command="SELECT * FROM [20260528-comparing_EXP02_EXP03]"/>
  </connection>
</connections>
</file>

<file path=xl/sharedStrings.xml><?xml version="1.0" encoding="utf-8"?>
<sst xmlns="http://schemas.openxmlformats.org/spreadsheetml/2006/main" count="321" uniqueCount="28">
  <si>
    <t>EXP02</t>
  </si>
  <si>
    <t/>
  </si>
  <si>
    <t>EXP03</t>
  </si>
  <si>
    <t>glycan</t>
  </si>
  <si>
    <t>Y-NO</t>
  </si>
  <si>
    <t>Y-WT</t>
  </si>
  <si>
    <t>YA-NO</t>
  </si>
  <si>
    <t>YA-WT</t>
  </si>
  <si>
    <t>YF-NO</t>
  </si>
  <si>
    <t>YF-WT</t>
  </si>
  <si>
    <t>YI-NO</t>
  </si>
  <si>
    <t>YI-WT</t>
  </si>
  <si>
    <t>Agalactosylation</t>
  </si>
  <si>
    <t>Galactosylation</t>
  </si>
  <si>
    <t>Sialylation</t>
  </si>
  <si>
    <t>Bisection</t>
  </si>
  <si>
    <t>High Mannose</t>
  </si>
  <si>
    <t>Antennary fucosylation</t>
  </si>
  <si>
    <t>0</t>
  </si>
  <si>
    <t>Monoantennary</t>
  </si>
  <si>
    <t>Hybrid</t>
  </si>
  <si>
    <t>delta</t>
  </si>
  <si>
    <t>delta /vs average</t>
  </si>
  <si>
    <t>in general changes go in the same directions for all sample types</t>
  </si>
  <si>
    <t xml:space="preserve">From this table it is evident that the changes are not really on the same scale for every sample type. </t>
  </si>
  <si>
    <t>YI-no is an exception though in terms of G0</t>
  </si>
  <si>
    <t>S contained more structures in EXP02</t>
  </si>
  <si>
    <t>M contained less structures in EXP02 (not sure if it is not just an integration issue)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</si>
</sst>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C8FB-3105-234C-AAD1-23739A71456D}">
  <dimension ref="A1:T30"/>
  <sheetViews>
    <sheetView tabSelected="1" topLeftCell="B1" workbookViewId="0">
      <selection activeCell="L28" sqref="L28"/>
    </sheetView>
  </sheetViews>
  <sheetFormatPr baseColWidth="10" defaultRowHeight="16" x14ac:dyDescent="0.2"/>
  <cols>
    <col min="1" max="1" width="42.1640625" customWidth="1"/>
    <col min="12" max="12" width="19.83203125" customWidth="1"/>
  </cols>
  <sheetData>
    <row r="1" spans="1:20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/>
      <c r="K1" s="1" t="s">
        <v>1</v>
      </c>
      <c r="L1" s="1" t="s">
        <v>2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</row>
    <row r="2" spans="1:20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/>
      <c r="K2" s="1" t="s">
        <v>1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</row>
    <row r="3" spans="1:20" x14ac:dyDescent="0.2">
      <c r="A3" s="1" t="s">
        <v>12</v>
      </c>
      <c r="B3" s="1">
        <v>33.189155059999997</v>
      </c>
      <c r="C3" s="1">
        <v>33.283948070000001</v>
      </c>
      <c r="D3" s="1">
        <v>44.877105810000003</v>
      </c>
      <c r="E3" s="1">
        <v>42.88263525</v>
      </c>
      <c r="F3" s="1">
        <v>42.902306250000002</v>
      </c>
      <c r="G3" s="1">
        <v>42.088455250000003</v>
      </c>
      <c r="H3" s="1">
        <v>40.269840680000001</v>
      </c>
      <c r="I3" s="1">
        <v>35.992319510000002</v>
      </c>
      <c r="J3" s="1"/>
      <c r="K3" s="1" t="s">
        <v>1</v>
      </c>
      <c r="L3" s="1" t="s">
        <v>12</v>
      </c>
      <c r="M3" s="1">
        <v>39.268420749999997</v>
      </c>
      <c r="N3" s="1">
        <v>39.01874317</v>
      </c>
      <c r="O3" s="1">
        <v>52.177049109999999</v>
      </c>
      <c r="P3" s="1">
        <v>50.125182709999997</v>
      </c>
      <c r="Q3" s="1">
        <v>47.599173</v>
      </c>
      <c r="R3" s="1">
        <v>45.720217089999998</v>
      </c>
      <c r="S3" s="1">
        <v>40.122652019999997</v>
      </c>
      <c r="T3" s="1">
        <v>37.66247284</v>
      </c>
    </row>
    <row r="4" spans="1:20" x14ac:dyDescent="0.2">
      <c r="A4" s="1" t="s">
        <v>13</v>
      </c>
      <c r="B4" s="1">
        <v>41.797439160000003</v>
      </c>
      <c r="C4" s="1">
        <v>42.24631153</v>
      </c>
      <c r="D4" s="1">
        <v>18.904310800000001</v>
      </c>
      <c r="E4" s="1">
        <v>18.23930232</v>
      </c>
      <c r="F4" s="1">
        <v>33.349890889999998</v>
      </c>
      <c r="G4" s="1">
        <v>32.824076460000001</v>
      </c>
      <c r="H4" s="1">
        <v>22.769086730000001</v>
      </c>
      <c r="I4" s="1">
        <v>21.66345145</v>
      </c>
      <c r="J4" s="1"/>
      <c r="K4" s="1" t="s">
        <v>1</v>
      </c>
      <c r="L4" s="1" t="s">
        <v>13</v>
      </c>
      <c r="M4" s="1">
        <v>35.817298839999999</v>
      </c>
      <c r="N4" s="1">
        <v>36.839672309999997</v>
      </c>
      <c r="O4" s="1">
        <v>13.373474209999999</v>
      </c>
      <c r="P4" s="1">
        <v>12.70743981</v>
      </c>
      <c r="Q4" s="1">
        <v>28.262742759999998</v>
      </c>
      <c r="R4" s="1">
        <v>28.955995049999999</v>
      </c>
      <c r="S4" s="1">
        <v>16.117696630000001</v>
      </c>
      <c r="T4" s="1">
        <v>16.617103239999999</v>
      </c>
    </row>
    <row r="5" spans="1:20" x14ac:dyDescent="0.2">
      <c r="A5" s="1" t="s">
        <v>14</v>
      </c>
      <c r="B5" s="1">
        <v>6.7748848129999999</v>
      </c>
      <c r="C5" s="1">
        <v>6.6603519689999997</v>
      </c>
      <c r="D5" s="1">
        <v>3.3626956460000001</v>
      </c>
      <c r="E5" s="1">
        <v>3.8290494829999999</v>
      </c>
      <c r="F5" s="1">
        <v>6.829232975</v>
      </c>
      <c r="G5" s="1">
        <v>7.047879945</v>
      </c>
      <c r="H5" s="1">
        <v>4.0256147440000003</v>
      </c>
      <c r="I5" s="1">
        <v>4.7683185889999997</v>
      </c>
      <c r="J5" s="1"/>
      <c r="K5" s="1" t="s">
        <v>1</v>
      </c>
      <c r="L5" s="1" t="s">
        <v>14</v>
      </c>
      <c r="M5" s="1">
        <v>4.078762631</v>
      </c>
      <c r="N5" s="1">
        <v>3.5227441100000001</v>
      </c>
      <c r="O5" s="1">
        <v>1.7653626360000001</v>
      </c>
      <c r="P5" s="1">
        <v>1.3873258580000001</v>
      </c>
      <c r="Q5" s="1">
        <v>3.9052852480000002</v>
      </c>
      <c r="R5" s="1">
        <v>3.9381900330000001</v>
      </c>
      <c r="S5" s="1">
        <v>3.303968142</v>
      </c>
      <c r="T5" s="1">
        <v>2.9386254040000002</v>
      </c>
    </row>
    <row r="6" spans="1:20" x14ac:dyDescent="0.2">
      <c r="A6" s="1" t="s">
        <v>15</v>
      </c>
      <c r="B6" s="1">
        <v>5.8456366700000002</v>
      </c>
      <c r="C6" s="1">
        <v>6.1767432519999996</v>
      </c>
      <c r="D6" s="1">
        <v>2.894997976</v>
      </c>
      <c r="E6" s="1">
        <v>2.7802247229999999</v>
      </c>
      <c r="F6" s="1">
        <v>6.7665510150000001</v>
      </c>
      <c r="G6" s="1">
        <v>6.4546948759999996</v>
      </c>
      <c r="H6" s="1">
        <v>2.438587778</v>
      </c>
      <c r="I6" s="1">
        <v>2.0949667550000002</v>
      </c>
      <c r="J6" s="1"/>
      <c r="K6" s="1" t="s">
        <v>1</v>
      </c>
      <c r="L6" s="1" t="s">
        <v>15</v>
      </c>
      <c r="M6" s="1">
        <v>1.889324666</v>
      </c>
      <c r="N6" s="1">
        <v>1.943879401</v>
      </c>
      <c r="O6" s="1">
        <v>1.823667215</v>
      </c>
      <c r="P6" s="1">
        <v>1.8635270909999999</v>
      </c>
      <c r="Q6" s="1">
        <v>2.0094159239999998</v>
      </c>
      <c r="R6" s="1">
        <v>2.1354948299999998</v>
      </c>
      <c r="S6" s="1">
        <v>1.231314059</v>
      </c>
      <c r="T6" s="1">
        <v>1.169388688</v>
      </c>
    </row>
    <row r="7" spans="1:20" x14ac:dyDescent="0.2">
      <c r="A7" s="1" t="s">
        <v>16</v>
      </c>
      <c r="B7" s="1">
        <v>4.9014629669999996</v>
      </c>
      <c r="C7" s="1">
        <v>4.9587379059999996</v>
      </c>
      <c r="D7" s="1">
        <v>9.1546605069999991</v>
      </c>
      <c r="E7" s="1">
        <v>10.356495730000001</v>
      </c>
      <c r="F7" s="1">
        <v>5.2269145999999997</v>
      </c>
      <c r="G7" s="1">
        <v>5.8006719999999996</v>
      </c>
      <c r="H7" s="1">
        <v>13.789080520000001</v>
      </c>
      <c r="I7" s="1">
        <v>16.22756678</v>
      </c>
      <c r="J7" s="1"/>
      <c r="K7" s="1" t="s">
        <v>1</v>
      </c>
      <c r="L7" s="1" t="s">
        <v>16</v>
      </c>
      <c r="M7" s="1">
        <v>6.6707460669999996</v>
      </c>
      <c r="N7" s="1">
        <v>6.7499580579999998</v>
      </c>
      <c r="O7" s="1">
        <v>12.5064706</v>
      </c>
      <c r="P7" s="1">
        <v>13.995573500000001</v>
      </c>
      <c r="Q7" s="1">
        <v>7.73307842</v>
      </c>
      <c r="R7" s="1">
        <v>8.1223031100000007</v>
      </c>
      <c r="S7" s="1">
        <v>17.193026039999999</v>
      </c>
      <c r="T7" s="1">
        <v>18.039275419999999</v>
      </c>
    </row>
    <row r="8" spans="1:20" x14ac:dyDescent="0.2">
      <c r="A8" s="1" t="s">
        <v>17</v>
      </c>
      <c r="B8" s="1">
        <v>0.97769642700000003</v>
      </c>
      <c r="C8" s="1">
        <v>0.90353319399999998</v>
      </c>
      <c r="D8" s="1" t="s">
        <v>18</v>
      </c>
      <c r="E8" s="1" t="s">
        <v>18</v>
      </c>
      <c r="F8" s="1">
        <v>2.297526483</v>
      </c>
      <c r="G8" s="1">
        <v>2.4313446160000001</v>
      </c>
      <c r="H8" s="1" t="s">
        <v>18</v>
      </c>
      <c r="I8" s="1" t="s">
        <v>18</v>
      </c>
      <c r="J8" s="1"/>
      <c r="K8" s="1" t="s">
        <v>1</v>
      </c>
      <c r="L8" s="1" t="s">
        <v>17</v>
      </c>
      <c r="M8" s="1">
        <v>0.18422124600000001</v>
      </c>
      <c r="N8" s="1">
        <v>0.18944256900000001</v>
      </c>
      <c r="O8" s="1" t="s">
        <v>18</v>
      </c>
      <c r="P8" s="1" t="s">
        <v>18</v>
      </c>
      <c r="Q8" s="1">
        <v>0.14264142199999999</v>
      </c>
      <c r="R8" s="1">
        <v>0.15832350100000001</v>
      </c>
      <c r="S8" s="1" t="s">
        <v>18</v>
      </c>
      <c r="T8" s="1" t="s">
        <v>18</v>
      </c>
    </row>
    <row r="9" spans="1:20" x14ac:dyDescent="0.2">
      <c r="A9" s="1" t="s">
        <v>19</v>
      </c>
      <c r="B9" s="1">
        <v>9.7039248170000008</v>
      </c>
      <c r="C9" s="1">
        <v>9.8418434099999992</v>
      </c>
      <c r="D9" s="1">
        <v>12.361230920000001</v>
      </c>
      <c r="E9" s="1">
        <v>12.61930314</v>
      </c>
      <c r="F9" s="1">
        <v>11.393745689999999</v>
      </c>
      <c r="G9" s="1">
        <v>11.21597182</v>
      </c>
      <c r="H9" s="1">
        <v>12.73218323</v>
      </c>
      <c r="I9" s="1">
        <v>13.297803119999999</v>
      </c>
      <c r="J9" s="1"/>
      <c r="K9" s="1" t="s">
        <v>1</v>
      </c>
      <c r="L9" s="1" t="s">
        <v>19</v>
      </c>
      <c r="M9" s="1">
        <v>16.531433150000002</v>
      </c>
      <c r="N9" s="1">
        <v>16.05032885</v>
      </c>
      <c r="O9" s="1">
        <v>19.523663710000001</v>
      </c>
      <c r="P9" s="1">
        <v>19.295052869999999</v>
      </c>
      <c r="Q9" s="1">
        <v>18.1747269</v>
      </c>
      <c r="R9" s="1">
        <v>17.309660109999999</v>
      </c>
      <c r="S9" s="1">
        <v>16.848201660000001</v>
      </c>
      <c r="T9" s="1">
        <v>16.33915481</v>
      </c>
    </row>
    <row r="10" spans="1:20" x14ac:dyDescent="0.2">
      <c r="A10" s="1" t="s">
        <v>20</v>
      </c>
      <c r="B10" s="1">
        <v>8.6070265330000009</v>
      </c>
      <c r="C10" s="1">
        <v>8.0475875590000001</v>
      </c>
      <c r="D10" s="1">
        <v>21.244631949999999</v>
      </c>
      <c r="E10" s="1">
        <v>21.895262290000002</v>
      </c>
      <c r="F10" s="1">
        <v>9.4145171239999996</v>
      </c>
      <c r="G10" s="1">
        <v>10.48653876</v>
      </c>
      <c r="H10" s="1">
        <v>25.296632599999999</v>
      </c>
      <c r="I10" s="1">
        <v>27.84133636</v>
      </c>
      <c r="J10" s="1"/>
      <c r="K10" s="1" t="s">
        <v>1</v>
      </c>
      <c r="L10" s="1" t="s">
        <v>20</v>
      </c>
      <c r="M10" s="1">
        <v>6.3897249350000003</v>
      </c>
      <c r="N10" s="1">
        <v>6.217210594</v>
      </c>
      <c r="O10" s="1">
        <v>16.01891857</v>
      </c>
      <c r="P10" s="1">
        <v>16.450053789999998</v>
      </c>
      <c r="Q10" s="1">
        <v>7.6529174810000002</v>
      </c>
      <c r="R10" s="1">
        <v>8.6815037509999993</v>
      </c>
      <c r="S10" s="1">
        <v>19.404530269999999</v>
      </c>
      <c r="T10" s="1">
        <v>20.319786180000001</v>
      </c>
    </row>
    <row r="11" spans="1:20" x14ac:dyDescent="0.2">
      <c r="A11" s="1" t="s">
        <v>1</v>
      </c>
      <c r="B11" s="1" t="s">
        <v>1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  <c r="J11" s="1"/>
      <c r="K11" s="1" t="s">
        <v>1</v>
      </c>
      <c r="L11" s="1" t="s">
        <v>1</v>
      </c>
      <c r="M11" s="1" t="s">
        <v>1</v>
      </c>
      <c r="N11" s="1" t="s">
        <v>1</v>
      </c>
      <c r="O11" s="1" t="s">
        <v>1</v>
      </c>
      <c r="P11" s="1" t="s">
        <v>1</v>
      </c>
      <c r="Q11" s="1" t="s">
        <v>1</v>
      </c>
      <c r="R11" s="1" t="s">
        <v>1</v>
      </c>
      <c r="S11" s="1" t="s">
        <v>1</v>
      </c>
      <c r="T11" s="1" t="s">
        <v>1</v>
      </c>
    </row>
    <row r="12" spans="1:20" x14ac:dyDescent="0.2">
      <c r="A12" s="1" t="s">
        <v>1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  <c r="J12" s="1"/>
      <c r="K12" s="1" t="s">
        <v>1</v>
      </c>
      <c r="L12" s="1" t="s">
        <v>1</v>
      </c>
      <c r="M12" s="1" t="s">
        <v>1</v>
      </c>
      <c r="N12" s="1" t="s">
        <v>1</v>
      </c>
      <c r="O12" s="1" t="s">
        <v>1</v>
      </c>
      <c r="P12" s="1" t="s">
        <v>1</v>
      </c>
      <c r="Q12" s="1" t="s">
        <v>1</v>
      </c>
      <c r="R12" s="1" t="s">
        <v>1</v>
      </c>
      <c r="S12" s="1" t="s">
        <v>1</v>
      </c>
      <c r="T12" s="1" t="s">
        <v>1</v>
      </c>
    </row>
    <row r="13" spans="1:20" x14ac:dyDescent="0.2">
      <c r="A13" s="1" t="s">
        <v>1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  <c r="J13" s="1"/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 t="s">
        <v>1</v>
      </c>
      <c r="Q13" s="1" t="s">
        <v>1</v>
      </c>
      <c r="R13" s="1" t="s">
        <v>1</v>
      </c>
      <c r="S13" s="1" t="s">
        <v>1</v>
      </c>
      <c r="T13" s="1" t="s">
        <v>1</v>
      </c>
    </row>
    <row r="14" spans="1:20" x14ac:dyDescent="0.2">
      <c r="A14" s="1" t="s">
        <v>1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/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  <c r="P14" s="1" t="s">
        <v>1</v>
      </c>
      <c r="Q14" s="1" t="s">
        <v>1</v>
      </c>
      <c r="R14" s="1" t="s">
        <v>1</v>
      </c>
      <c r="S14" s="1" t="s">
        <v>1</v>
      </c>
      <c r="T14" s="1" t="s">
        <v>1</v>
      </c>
    </row>
    <row r="15" spans="1:20" x14ac:dyDescent="0.2">
      <c r="A15" s="1" t="s">
        <v>21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  <c r="J15" s="1"/>
      <c r="K15" s="1" t="s">
        <v>22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 t="s">
        <v>1</v>
      </c>
      <c r="T15" s="1" t="s">
        <v>1</v>
      </c>
    </row>
    <row r="16" spans="1:20" x14ac:dyDescent="0.2">
      <c r="A16" s="1" t="s">
        <v>3</v>
      </c>
      <c r="B16" s="1" t="s">
        <v>4</v>
      </c>
      <c r="C16" s="1" t="s">
        <v>5</v>
      </c>
      <c r="D16" s="1" t="s">
        <v>6</v>
      </c>
      <c r="E16" s="1" t="s">
        <v>7</v>
      </c>
      <c r="F16" s="1" t="s">
        <v>8</v>
      </c>
      <c r="G16" s="1" t="s">
        <v>9</v>
      </c>
      <c r="H16" s="1" t="s">
        <v>10</v>
      </c>
      <c r="I16" s="1" t="s">
        <v>11</v>
      </c>
      <c r="J16" s="1"/>
      <c r="K16" s="1" t="s">
        <v>3</v>
      </c>
      <c r="L16" s="1" t="s">
        <v>4</v>
      </c>
      <c r="M16" s="1" t="s">
        <v>5</v>
      </c>
      <c r="N16" s="1" t="s">
        <v>6</v>
      </c>
      <c r="O16" s="1" t="s">
        <v>7</v>
      </c>
      <c r="P16" s="1" t="s">
        <v>8</v>
      </c>
      <c r="Q16" s="1" t="s">
        <v>9</v>
      </c>
      <c r="R16" s="1" t="s">
        <v>10</v>
      </c>
      <c r="S16" s="1" t="s">
        <v>11</v>
      </c>
      <c r="T16" s="1" t="s">
        <v>1</v>
      </c>
    </row>
    <row r="17" spans="1:20" x14ac:dyDescent="0.2">
      <c r="A17" s="1" t="s">
        <v>12</v>
      </c>
      <c r="B17" s="1">
        <f>M3-B3</f>
        <v>6.0792656899999997</v>
      </c>
      <c r="C17" s="1">
        <f>N3-C3</f>
        <v>5.7347950999999995</v>
      </c>
      <c r="D17" s="1">
        <f>O3-D3</f>
        <v>7.2999432999999954</v>
      </c>
      <c r="E17" s="1">
        <f>P3-E3</f>
        <v>7.2425474599999973</v>
      </c>
      <c r="F17" s="1">
        <f>Q3-F3</f>
        <v>4.6968667499999981</v>
      </c>
      <c r="G17" s="1">
        <f>R3-G3</f>
        <v>3.6317618399999958</v>
      </c>
      <c r="H17" s="1">
        <f>S3-H3</f>
        <v>-0.14718866000000475</v>
      </c>
      <c r="I17" s="1">
        <f>T3-I3</f>
        <v>1.670153329999998</v>
      </c>
      <c r="J17" s="1"/>
      <c r="K17" s="1" t="s">
        <v>12</v>
      </c>
      <c r="L17" s="1">
        <f>B17/(0.5*(B3+M3))</f>
        <v>0.16780207237242376</v>
      </c>
      <c r="M17" s="1">
        <f t="shared" ref="M17:S24" si="0">C17/(0.5*(C3+N3))</f>
        <v>0.15863296377071343</v>
      </c>
      <c r="N17" s="1">
        <f t="shared" si="0"/>
        <v>0.15043030988250236</v>
      </c>
      <c r="O17" s="1">
        <f t="shared" si="0"/>
        <v>0.15574061662461128</v>
      </c>
      <c r="P17" s="1">
        <f t="shared" si="0"/>
        <v>0.10379646363625593</v>
      </c>
      <c r="Q17" s="1">
        <f t="shared" si="0"/>
        <v>8.2719889578505748E-2</v>
      </c>
      <c r="R17" s="1">
        <f t="shared" si="0"/>
        <v>-3.6617513664930746E-3</v>
      </c>
      <c r="S17" s="1">
        <f t="shared" si="0"/>
        <v>4.5350839414863897E-2</v>
      </c>
      <c r="T17" s="1" t="s">
        <v>1</v>
      </c>
    </row>
    <row r="18" spans="1:20" x14ac:dyDescent="0.2">
      <c r="A18" s="1" t="s">
        <v>13</v>
      </c>
      <c r="B18" s="1">
        <f t="shared" ref="B18:B24" si="1">M4-B4</f>
        <v>-5.9801403200000038</v>
      </c>
      <c r="C18" s="1">
        <f>N4-C4</f>
        <v>-5.4066392200000024</v>
      </c>
      <c r="D18" s="1">
        <f>O4-D4</f>
        <v>-5.5308365900000016</v>
      </c>
      <c r="E18" s="1">
        <f>P4-E4</f>
        <v>-5.5318625099999998</v>
      </c>
      <c r="F18" s="1">
        <f>Q4-F4</f>
        <v>-5.0871481299999992</v>
      </c>
      <c r="G18" s="1">
        <f>R4-G4</f>
        <v>-3.8680814100000021</v>
      </c>
      <c r="H18" s="1">
        <f>S4-H4</f>
        <v>-6.6513901000000004</v>
      </c>
      <c r="I18" s="1">
        <f>T4-I4</f>
        <v>-5.0463482100000014</v>
      </c>
      <c r="J18" s="1"/>
      <c r="K18" s="1" t="s">
        <v>13</v>
      </c>
      <c r="L18" s="1">
        <f t="shared" ref="L18:L24" si="2">B18/(0.5*(B4+M4))</f>
        <v>-0.15409806111823771</v>
      </c>
      <c r="M18" s="1">
        <f t="shared" si="0"/>
        <v>-0.13672812696971065</v>
      </c>
      <c r="N18" s="1">
        <f t="shared" si="0"/>
        <v>-0.34270236252496816</v>
      </c>
      <c r="O18" s="1">
        <f t="shared" si="0"/>
        <v>-0.35750855367986356</v>
      </c>
      <c r="P18" s="1">
        <f t="shared" si="0"/>
        <v>-0.16513327960944907</v>
      </c>
      <c r="Q18" s="1">
        <f t="shared" si="0"/>
        <v>-0.12522100785765186</v>
      </c>
      <c r="R18" s="1">
        <f t="shared" si="0"/>
        <v>-0.34209001235323566</v>
      </c>
      <c r="S18" s="1">
        <f t="shared" si="0"/>
        <v>-0.26365073603900807</v>
      </c>
      <c r="T18" s="1" t="s">
        <v>1</v>
      </c>
    </row>
    <row r="19" spans="1:20" x14ac:dyDescent="0.2">
      <c r="A19" s="1" t="s">
        <v>14</v>
      </c>
      <c r="B19" s="1">
        <f t="shared" si="1"/>
        <v>-2.6961221819999999</v>
      </c>
      <c r="C19" s="1">
        <f>N5-C5</f>
        <v>-3.1376078589999996</v>
      </c>
      <c r="D19" s="1">
        <f>O5-D5</f>
        <v>-1.5973330100000001</v>
      </c>
      <c r="E19" s="1">
        <f>P5-E5</f>
        <v>-2.4417236249999998</v>
      </c>
      <c r="F19" s="1">
        <f>Q5-F5</f>
        <v>-2.9239477269999998</v>
      </c>
      <c r="G19" s="1">
        <f>R5-G5</f>
        <v>-3.1096899119999999</v>
      </c>
      <c r="H19" s="1">
        <f>S5-H5</f>
        <v>-0.7216466020000003</v>
      </c>
      <c r="I19" s="1">
        <f>T5-I5</f>
        <v>-1.8296931849999996</v>
      </c>
      <c r="J19" s="1"/>
      <c r="K19" s="1" t="s">
        <v>14</v>
      </c>
      <c r="L19" s="1">
        <f t="shared" si="2"/>
        <v>-0.49681403342255087</v>
      </c>
      <c r="M19" s="1">
        <f t="shared" si="0"/>
        <v>-0.61623848673499282</v>
      </c>
      <c r="N19" s="1">
        <f t="shared" si="0"/>
        <v>-0.62297771287303783</v>
      </c>
      <c r="O19" s="1">
        <f t="shared" si="0"/>
        <v>-0.93617635441544422</v>
      </c>
      <c r="P19" s="1">
        <f t="shared" si="0"/>
        <v>-0.54477484061372949</v>
      </c>
      <c r="Q19" s="1">
        <f t="shared" si="0"/>
        <v>-0.5661150744947494</v>
      </c>
      <c r="R19" s="1">
        <f t="shared" si="0"/>
        <v>-0.19691341600854098</v>
      </c>
      <c r="S19" s="1">
        <f t="shared" si="0"/>
        <v>-0.47481678513866415</v>
      </c>
      <c r="T19" s="1" t="s">
        <v>1</v>
      </c>
    </row>
    <row r="20" spans="1:20" x14ac:dyDescent="0.2">
      <c r="A20" s="1" t="s">
        <v>15</v>
      </c>
      <c r="B20" s="1">
        <f t="shared" si="1"/>
        <v>-3.9563120039999999</v>
      </c>
      <c r="C20" s="1">
        <f>N6-C6</f>
        <v>-4.2328638509999994</v>
      </c>
      <c r="D20" s="1">
        <f>O6-D6</f>
        <v>-1.071330761</v>
      </c>
      <c r="E20" s="1">
        <f>P6-E6</f>
        <v>-0.91669763199999998</v>
      </c>
      <c r="F20" s="1">
        <f>Q6-F6</f>
        <v>-4.7571350910000003</v>
      </c>
      <c r="G20" s="1">
        <f>R6-G6</f>
        <v>-4.3192000459999997</v>
      </c>
      <c r="H20" s="1">
        <f>S6-H6</f>
        <v>-1.207273719</v>
      </c>
      <c r="I20" s="1">
        <f>T6-I6</f>
        <v>-0.92557806700000023</v>
      </c>
      <c r="J20" s="1"/>
      <c r="K20" s="1" t="s">
        <v>15</v>
      </c>
      <c r="L20" s="1">
        <f t="shared" si="2"/>
        <v>-1.0229687860459138</v>
      </c>
      <c r="M20" s="1">
        <f t="shared" si="0"/>
        <v>-1.0424973630405676</v>
      </c>
      <c r="N20" s="1">
        <f t="shared" si="0"/>
        <v>-0.45408212603995285</v>
      </c>
      <c r="O20" s="1">
        <f t="shared" si="0"/>
        <v>-0.39480905471146699</v>
      </c>
      <c r="P20" s="1">
        <f t="shared" si="0"/>
        <v>-1.0841278514529282</v>
      </c>
      <c r="Q20" s="1">
        <f t="shared" si="0"/>
        <v>-1.0056122609220521</v>
      </c>
      <c r="R20" s="1">
        <f t="shared" si="0"/>
        <v>-0.65793243123194733</v>
      </c>
      <c r="S20" s="1">
        <f t="shared" si="0"/>
        <v>-0.56708166935974202</v>
      </c>
      <c r="T20" s="1" t="s">
        <v>1</v>
      </c>
    </row>
    <row r="21" spans="1:20" x14ac:dyDescent="0.2">
      <c r="A21" s="1" t="s">
        <v>16</v>
      </c>
      <c r="B21" s="1">
        <f t="shared" si="1"/>
        <v>1.7692831</v>
      </c>
      <c r="C21" s="1">
        <f>N7-C7</f>
        <v>1.7912201520000002</v>
      </c>
      <c r="D21" s="1">
        <f>O7-D7</f>
        <v>3.351810093000001</v>
      </c>
      <c r="E21" s="1">
        <f>P7-E7</f>
        <v>3.6390777700000001</v>
      </c>
      <c r="F21" s="1">
        <f>Q7-F7</f>
        <v>2.5061638200000003</v>
      </c>
      <c r="G21" s="1">
        <f>R7-G7</f>
        <v>2.3216311100000011</v>
      </c>
      <c r="H21" s="1">
        <f>S7-H7</f>
        <v>3.4039455199999988</v>
      </c>
      <c r="I21" s="1">
        <f>T7-I7</f>
        <v>1.8117086399999991</v>
      </c>
      <c r="J21" s="1"/>
      <c r="K21" s="1" t="s">
        <v>16</v>
      </c>
      <c r="L21" s="1">
        <f t="shared" si="2"/>
        <v>0.30578139312930075</v>
      </c>
      <c r="M21" s="1">
        <f t="shared" si="0"/>
        <v>0.30596407277246818</v>
      </c>
      <c r="N21" s="1">
        <f t="shared" si="0"/>
        <v>0.30947692218314787</v>
      </c>
      <c r="O21" s="1">
        <f t="shared" si="0"/>
        <v>0.2988721603597379</v>
      </c>
      <c r="P21" s="1">
        <f t="shared" si="0"/>
        <v>0.38675388422392848</v>
      </c>
      <c r="Q21" s="1">
        <f t="shared" si="0"/>
        <v>0.33349641030852939</v>
      </c>
      <c r="R21" s="1">
        <f t="shared" si="0"/>
        <v>0.21973622183552383</v>
      </c>
      <c r="S21" s="1">
        <f t="shared" si="0"/>
        <v>0.10574120774980539</v>
      </c>
      <c r="T21" s="1" t="s">
        <v>1</v>
      </c>
    </row>
    <row r="22" spans="1:20" x14ac:dyDescent="0.2">
      <c r="A22" s="1" t="s">
        <v>17</v>
      </c>
      <c r="B22" s="1">
        <f t="shared" si="1"/>
        <v>-0.79347518100000003</v>
      </c>
      <c r="C22" s="1">
        <f>N8-C8</f>
        <v>-0.71409062499999998</v>
      </c>
      <c r="D22" s="1">
        <f>O8-D8</f>
        <v>0</v>
      </c>
      <c r="E22" s="1">
        <f>P8-E8</f>
        <v>0</v>
      </c>
      <c r="F22" s="1">
        <f>Q8-F8</f>
        <v>-2.1548850609999999</v>
      </c>
      <c r="G22" s="1">
        <f>R8-G8</f>
        <v>-2.2730211150000001</v>
      </c>
      <c r="H22" s="1">
        <f>S8-H8</f>
        <v>0</v>
      </c>
      <c r="I22" s="1">
        <f>T8-I8</f>
        <v>0</v>
      </c>
      <c r="J22" s="1"/>
      <c r="K22" s="1" t="s">
        <v>17</v>
      </c>
      <c r="L22" s="1">
        <f t="shared" si="2"/>
        <v>-1.3658027576967582</v>
      </c>
      <c r="M22" s="1">
        <f t="shared" si="0"/>
        <v>-1.3066906864246721</v>
      </c>
      <c r="N22" s="1" t="e">
        <f t="shared" si="0"/>
        <v>#DIV/0!</v>
      </c>
      <c r="O22" s="1" t="e">
        <f t="shared" si="0"/>
        <v>#DIV/0!</v>
      </c>
      <c r="P22" s="1">
        <f t="shared" si="0"/>
        <v>-1.7661776934157323</v>
      </c>
      <c r="Q22" s="1">
        <f t="shared" si="0"/>
        <v>-1.7554536043276314</v>
      </c>
      <c r="R22" s="1" t="e">
        <f t="shared" si="0"/>
        <v>#DIV/0!</v>
      </c>
      <c r="S22" s="1" t="e">
        <f t="shared" si="0"/>
        <v>#DIV/0!</v>
      </c>
      <c r="T22" s="1" t="s">
        <v>1</v>
      </c>
    </row>
    <row r="23" spans="1:20" x14ac:dyDescent="0.2">
      <c r="A23" s="1" t="s">
        <v>19</v>
      </c>
      <c r="B23" s="1">
        <f t="shared" si="1"/>
        <v>6.8275083330000008</v>
      </c>
      <c r="C23" s="1">
        <f>N9-C9</f>
        <v>6.2084854400000005</v>
      </c>
      <c r="D23" s="1">
        <f>O9-D9</f>
        <v>7.1624327900000004</v>
      </c>
      <c r="E23" s="1">
        <f>P9-E9</f>
        <v>6.6757497299999997</v>
      </c>
      <c r="F23" s="1">
        <f>Q9-F9</f>
        <v>6.7809812100000002</v>
      </c>
      <c r="G23" s="1">
        <f>R9-G9</f>
        <v>6.0936882899999993</v>
      </c>
      <c r="H23" s="1">
        <f>S9-H9</f>
        <v>4.1160184300000004</v>
      </c>
      <c r="I23" s="1">
        <f>T9-I9</f>
        <v>3.0413516900000008</v>
      </c>
      <c r="J23" s="1"/>
      <c r="K23" s="1" t="s">
        <v>19</v>
      </c>
      <c r="L23" s="1">
        <f t="shared" si="2"/>
        <v>0.5204814313254611</v>
      </c>
      <c r="M23" s="1">
        <f t="shared" si="0"/>
        <v>0.47956466361003586</v>
      </c>
      <c r="N23" s="1">
        <f t="shared" si="0"/>
        <v>0.44926808591432377</v>
      </c>
      <c r="O23" s="1">
        <f t="shared" si="0"/>
        <v>0.41835403026200685</v>
      </c>
      <c r="P23" s="1">
        <f t="shared" si="0"/>
        <v>0.45866293494600835</v>
      </c>
      <c r="Q23" s="1">
        <f t="shared" si="0"/>
        <v>0.42724300060755915</v>
      </c>
      <c r="R23" s="1">
        <f t="shared" si="0"/>
        <v>0.27829377104497849</v>
      </c>
      <c r="S23" s="1">
        <f t="shared" si="0"/>
        <v>0.20524047691962294</v>
      </c>
      <c r="T23" s="1" t="s">
        <v>1</v>
      </c>
    </row>
    <row r="24" spans="1:20" x14ac:dyDescent="0.2">
      <c r="A24" s="1" t="s">
        <v>20</v>
      </c>
      <c r="B24" s="1">
        <f t="shared" si="1"/>
        <v>-2.2173015980000006</v>
      </c>
      <c r="C24" s="1">
        <f>N10-C10</f>
        <v>-1.8303769650000001</v>
      </c>
      <c r="D24" s="1">
        <f>O10-D10</f>
        <v>-5.2257133799999984</v>
      </c>
      <c r="E24" s="1">
        <f>P10-E10</f>
        <v>-5.4452085000000032</v>
      </c>
      <c r="F24" s="1">
        <f>Q10-F10</f>
        <v>-1.7615996429999994</v>
      </c>
      <c r="G24" s="1">
        <f>R10-G10</f>
        <v>-1.8050350090000009</v>
      </c>
      <c r="H24" s="1">
        <f>S10-H10</f>
        <v>-5.8921023300000002</v>
      </c>
      <c r="I24" s="1">
        <f>T10-I10</f>
        <v>-7.5215501799999984</v>
      </c>
      <c r="J24" s="1"/>
      <c r="K24" s="1" t="s">
        <v>20</v>
      </c>
      <c r="L24" s="1">
        <f t="shared" si="2"/>
        <v>-0.29570425338197653</v>
      </c>
      <c r="M24" s="1">
        <f t="shared" si="0"/>
        <v>-0.25662851242168572</v>
      </c>
      <c r="N24" s="1">
        <f t="shared" si="0"/>
        <v>-0.28047318664362203</v>
      </c>
      <c r="O24" s="1">
        <f t="shared" si="0"/>
        <v>-0.28400905542881122</v>
      </c>
      <c r="P24" s="1">
        <f t="shared" si="0"/>
        <v>-0.20642816964231156</v>
      </c>
      <c r="Q24" s="1">
        <f t="shared" si="0"/>
        <v>-0.18833795970184666</v>
      </c>
      <c r="R24" s="1">
        <f t="shared" si="0"/>
        <v>-0.26362188147701765</v>
      </c>
      <c r="S24" s="1">
        <f t="shared" si="0"/>
        <v>-0.31234945463544828</v>
      </c>
      <c r="T24" s="1" t="s">
        <v>1</v>
      </c>
    </row>
    <row r="25" spans="1:20" x14ac:dyDescent="0.2">
      <c r="A25" s="1" t="s">
        <v>1</v>
      </c>
      <c r="B25" s="1" t="s">
        <v>1</v>
      </c>
      <c r="C25" s="1" t="s">
        <v>1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  <c r="J25" s="1"/>
      <c r="K25" s="1" t="s">
        <v>1</v>
      </c>
      <c r="L25" s="1" t="s">
        <v>1</v>
      </c>
      <c r="M25" s="1" t="s">
        <v>1</v>
      </c>
      <c r="N25" s="1" t="s">
        <v>1</v>
      </c>
      <c r="O25" s="1" t="s">
        <v>1</v>
      </c>
      <c r="P25" s="1" t="s">
        <v>1</v>
      </c>
      <c r="Q25" s="1" t="s">
        <v>1</v>
      </c>
      <c r="R25" s="1" t="s">
        <v>1</v>
      </c>
      <c r="S25" s="1" t="s">
        <v>1</v>
      </c>
      <c r="T25" s="1" t="s">
        <v>1</v>
      </c>
    </row>
    <row r="26" spans="1:20" x14ac:dyDescent="0.2">
      <c r="A26" s="1" t="s">
        <v>23</v>
      </c>
      <c r="B26" s="1" t="s">
        <v>1</v>
      </c>
      <c r="C26" s="1" t="s">
        <v>1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  <c r="J26" s="1"/>
      <c r="K26" s="1" t="s">
        <v>1</v>
      </c>
      <c r="L26" s="1" t="s">
        <v>24</v>
      </c>
      <c r="M26" s="1" t="s">
        <v>1</v>
      </c>
      <c r="N26" s="1" t="s">
        <v>1</v>
      </c>
      <c r="O26" s="1" t="s">
        <v>1</v>
      </c>
      <c r="P26" s="1" t="s">
        <v>1</v>
      </c>
      <c r="Q26" s="1" t="s">
        <v>1</v>
      </c>
      <c r="R26" s="1" t="s">
        <v>1</v>
      </c>
      <c r="S26" s="1" t="s">
        <v>1</v>
      </c>
      <c r="T26" s="1" t="s">
        <v>1</v>
      </c>
    </row>
    <row r="27" spans="1:20" x14ac:dyDescent="0.2">
      <c r="A27" s="1" t="s">
        <v>25</v>
      </c>
      <c r="B27" s="1" t="s">
        <v>1</v>
      </c>
      <c r="C27" s="1" t="s">
        <v>1</v>
      </c>
      <c r="D27" s="1" t="s">
        <v>1</v>
      </c>
      <c r="E27" s="1" t="s">
        <v>1</v>
      </c>
      <c r="F27" s="1" t="s">
        <v>1</v>
      </c>
      <c r="G27" s="1" t="s">
        <v>1</v>
      </c>
      <c r="H27" s="1" t="s">
        <v>1</v>
      </c>
      <c r="I27" s="1" t="s">
        <v>1</v>
      </c>
      <c r="J27" s="1"/>
      <c r="K27" s="1" t="s">
        <v>1</v>
      </c>
      <c r="L27" s="1" t="s">
        <v>1</v>
      </c>
      <c r="M27" s="1" t="s">
        <v>1</v>
      </c>
      <c r="N27" s="1" t="s">
        <v>1</v>
      </c>
      <c r="O27" s="1" t="s">
        <v>1</v>
      </c>
      <c r="P27" s="1" t="s">
        <v>1</v>
      </c>
      <c r="Q27" s="1" t="s">
        <v>1</v>
      </c>
      <c r="R27" s="1" t="s">
        <v>1</v>
      </c>
      <c r="S27" s="1" t="s">
        <v>1</v>
      </c>
      <c r="T27" s="1" t="s">
        <v>1</v>
      </c>
    </row>
    <row r="28" spans="1:20" x14ac:dyDescent="0.2">
      <c r="A28" s="1" t="s">
        <v>1</v>
      </c>
      <c r="B28" s="1" t="s">
        <v>1</v>
      </c>
      <c r="C28" s="1" t="s">
        <v>1</v>
      </c>
      <c r="D28" s="1" t="s">
        <v>1</v>
      </c>
      <c r="E28" s="1" t="s">
        <v>1</v>
      </c>
      <c r="F28" s="1" t="s">
        <v>1</v>
      </c>
      <c r="G28" s="1" t="s">
        <v>1</v>
      </c>
      <c r="H28" s="1" t="s">
        <v>1</v>
      </c>
      <c r="I28" s="1" t="s">
        <v>1</v>
      </c>
      <c r="J28" s="1"/>
      <c r="K28" s="1" t="s">
        <v>1</v>
      </c>
      <c r="L28" s="1" t="s">
        <v>1</v>
      </c>
      <c r="M28" s="1" t="s">
        <v>1</v>
      </c>
      <c r="N28" s="1" t="s">
        <v>1</v>
      </c>
      <c r="O28" s="1" t="s">
        <v>1</v>
      </c>
      <c r="P28" s="1" t="s">
        <v>1</v>
      </c>
      <c r="Q28" s="1" t="s">
        <v>1</v>
      </c>
      <c r="R28" s="1" t="s">
        <v>1</v>
      </c>
      <c r="S28" s="1" t="s">
        <v>1</v>
      </c>
      <c r="T28" s="1" t="s">
        <v>1</v>
      </c>
    </row>
    <row r="29" spans="1:20" x14ac:dyDescent="0.2">
      <c r="A29" s="1" t="s">
        <v>26</v>
      </c>
      <c r="B29" s="1" t="s">
        <v>1</v>
      </c>
      <c r="C29" s="1" t="s">
        <v>1</v>
      </c>
      <c r="D29" s="1" t="s">
        <v>1</v>
      </c>
      <c r="E29" s="1" t="s">
        <v>1</v>
      </c>
      <c r="F29" s="1" t="s">
        <v>1</v>
      </c>
      <c r="G29" s="1" t="s">
        <v>1</v>
      </c>
      <c r="H29" s="1" t="s">
        <v>1</v>
      </c>
      <c r="I29" s="1" t="s">
        <v>1</v>
      </c>
      <c r="J29" s="1"/>
      <c r="K29" s="1" t="s">
        <v>1</v>
      </c>
      <c r="L29" s="1" t="s">
        <v>1</v>
      </c>
      <c r="M29" s="1" t="s">
        <v>1</v>
      </c>
      <c r="N29" s="1" t="s">
        <v>1</v>
      </c>
      <c r="O29" s="1" t="s">
        <v>1</v>
      </c>
      <c r="P29" s="1" t="s">
        <v>1</v>
      </c>
      <c r="Q29" s="1" t="s">
        <v>1</v>
      </c>
      <c r="R29" s="1" t="s">
        <v>1</v>
      </c>
      <c r="S29" s="1" t="s">
        <v>1</v>
      </c>
      <c r="T29" s="1" t="s">
        <v>1</v>
      </c>
    </row>
    <row r="30" spans="1:20" x14ac:dyDescent="0.2">
      <c r="A30" s="1" t="s">
        <v>27</v>
      </c>
      <c r="B30" s="1" t="s">
        <v>1</v>
      </c>
      <c r="C30" s="1" t="s">
        <v>1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  <c r="J30" s="1"/>
      <c r="K30" s="1" t="s">
        <v>1</v>
      </c>
      <c r="L30" s="1" t="s">
        <v>1</v>
      </c>
      <c r="M30" s="1" t="s">
        <v>1</v>
      </c>
      <c r="N30" s="1" t="s">
        <v>1</v>
      </c>
      <c r="O30" s="1" t="s">
        <v>1</v>
      </c>
      <c r="P30" s="1" t="s">
        <v>1</v>
      </c>
      <c r="Q30" s="1" t="s">
        <v>1</v>
      </c>
      <c r="R30" s="1" t="s">
        <v>1</v>
      </c>
      <c r="S30" s="1" t="s">
        <v>1</v>
      </c>
      <c r="T30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679508-C5F8-BB42-9B5F-48B52733F1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Zaitseva</dc:creator>
  <cp:lastModifiedBy>Olga Zaitseva</cp:lastModifiedBy>
  <dcterms:created xsi:type="dcterms:W3CDTF">2026-05-29T12:03:08Z</dcterms:created>
  <dcterms:modified xsi:type="dcterms:W3CDTF">2026-05-29T12:15:23Z</dcterms:modified>
</cp:coreProperties>
</file>